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rla_q5qit8q\Desktop\Bootcamp Excel\"/>
    </mc:Choice>
  </mc:AlternateContent>
  <xr:revisionPtr revIDLastSave="0" documentId="8_{35CBFC34-2A52-47AA-A744-13F263FF5F87}" xr6:coauthVersionLast="47" xr6:coauthVersionMax="47" xr10:uidLastSave="{00000000-0000-0000-0000-000000000000}"/>
  <bookViews>
    <workbookView xWindow="-120" yWindow="-120" windowWidth="21840" windowHeight="13020" tabRatio="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12" i="3"/>
</calcChain>
</file>

<file path=xl/sharedStrings.xml><?xml version="1.0" encoding="utf-8"?>
<sst xmlns="http://schemas.openxmlformats.org/spreadsheetml/2006/main" count="2018" uniqueCount="321">
  <si>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</si>
  <si>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</si>
  <si>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</si>
  <si>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</si>
  <si>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</si>
  <si>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</si>
  <si>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</si>
  <si>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</si>
  <si>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</si>
  <si>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</si>
  <si>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</si>
  <si>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</si>
  <si>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</si>
  <si>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</si>
  <si>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</si>
  <si>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</si>
  <si>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</si>
  <si>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</si>
  <si>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</si>
  <si>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</si>
  <si>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</si>
  <si>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</si>
  <si>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</si>
  <si>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</si>
  <si>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</si>
  <si>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</si>
  <si>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</si>
  <si>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</si>
  <si>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</si>
  <si>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</si>
  <si>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</si>
  <si>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</si>
  <si>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</si>
  <si>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</si>
  <si>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</si>
  <si>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</si>
  <si>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</si>
  <si>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</si>
  <si>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</si>
  <si>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</si>
  <si>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</si>
  <si>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</si>
  <si>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</si>
  <si>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</si>
  <si>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</si>
  <si>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</si>
  <si>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</si>
  <si>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</si>
  <si>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</si>
  <si>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</si>
  <si>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</si>
  <si>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</si>
  <si>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</si>
  <si>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</si>
  <si>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</si>
  <si>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</si>
  <si>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</si>
  <si>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</si>
  <si>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</si>
  <si>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</si>
  <si>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</si>
  <si>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</si>
  <si>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</si>
  <si>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</si>
  <si>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</si>
  <si>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</si>
  <si>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</si>
  <si>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</si>
  <si>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</si>
  <si>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</si>
  <si>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</si>
  <si>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</si>
  <si>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</si>
  <si>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</si>
  <si>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</si>
  <si>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</si>
  <si>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</si>
  <si>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</si>
  <si>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</si>
  <si>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</si>
  <si>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</si>
  <si>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</si>
  <si>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</si>
  <si>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</si>
  <si>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</si>
  <si>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</si>
  <si>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</si>
  <si>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</si>
  <si>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</si>
  <si>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</si>
  <si>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</si>
  <si>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</si>
  <si>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</si>
  <si>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</si>
  <si>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</si>
  <si>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</si>
  <si>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</si>
  <si>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</si>
  <si>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</si>
  <si>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</si>
  <si>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</si>
  <si>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</si>
  <si>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</si>
  <si>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</si>
  <si>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</si>
  <si>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</si>
  <si>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</si>
  <si>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</si>
  <si>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</si>
  <si>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</si>
  <si>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</si>
  <si>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</si>
  <si>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</si>
  <si>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</si>
  <si>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</si>
  <si>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</si>
  <si>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</si>
  <si>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</si>
  <si>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</si>
  <si>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</si>
  <si>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</si>
  <si>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</si>
  <si>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</si>
  <si>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</si>
  <si>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</si>
  <si>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</si>
  <si>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</si>
  <si>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</si>
  <si>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</si>
  <si>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</si>
  <si>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</si>
  <si>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</si>
  <si>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</si>
  <si>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</si>
  <si>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</si>
  <si>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</si>
  <si>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</si>
  <si>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</si>
  <si>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</si>
  <si>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</si>
  <si>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</si>
  <si>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</si>
  <si>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</si>
  <si>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</si>
  <si>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</si>
  <si>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</si>
  <si>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</si>
  <si>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</si>
  <si>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</si>
  <si>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</si>
  <si>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</si>
  <si>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</si>
  <si>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</si>
  <si>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</si>
  <si>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</si>
  <si>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</si>
  <si>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</si>
  <si>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</si>
  <si>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</si>
  <si>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</si>
  <si>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</si>
  <si>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</si>
  <si>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</si>
  <si>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</si>
  <si>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</si>
  <si>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</si>
  <si>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</si>
  <si>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</si>
  <si>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</si>
  <si>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</si>
  <si>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</si>
  <si>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</si>
  <si>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</si>
  <si>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</si>
  <si>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</si>
  <si>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</si>
  <si>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</si>
  <si>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</si>
  <si>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</si>
  <si>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</si>
  <si>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</si>
  <si>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</si>
  <si>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</si>
  <si>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</si>
  <si>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</si>
  <si>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</si>
  <si>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</si>
  <si>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</si>
  <si>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</si>
  <si>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</si>
  <si>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</si>
  <si>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</si>
  <si>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</si>
  <si>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</si>
  <si>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</si>
  <si>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</si>
  <si>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</si>
  <si>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</si>
  <si>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</si>
  <si>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</si>
  <si>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</si>
  <si>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</si>
  <si>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</si>
  <si>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</si>
  <si>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</si>
  <si>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</si>
  <si>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</si>
  <si>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</si>
  <si>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</si>
  <si>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</si>
  <si>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</si>
  <si>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</si>
  <si>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</si>
  <si>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</si>
  <si>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</si>
  <si>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</si>
  <si>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</si>
  <si>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</si>
  <si>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</si>
  <si>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</si>
  <si>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</si>
  <si>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</si>
  <si>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</si>
  <si>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</si>
  <si>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</si>
  <si>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</si>
  <si>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</si>
  <si>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</si>
  <si>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</si>
  <si>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</si>
  <si>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</si>
  <si>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</si>
  <si>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</si>
  <si>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</si>
  <si>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</si>
  <si>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</si>
  <si>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</si>
  <si>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</si>
  <si>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</si>
  <si>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</si>
  <si>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</si>
  <si>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</si>
  <si>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</si>
  <si>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</si>
  <si>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</si>
  <si>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</si>
  <si>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</si>
  <si>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</si>
  <si>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</si>
  <si>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</si>
  <si>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</si>
  <si>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</si>
  <si>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</si>
  <si>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</si>
  <si>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</si>
  <si>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</si>
  <si>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</si>
  <si>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</si>
  <si>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</si>
  <si>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</si>
  <si>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</si>
  <si>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</si>
  <si>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</si>
  <si>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</si>
  <si>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</si>
  <si>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</si>
  <si>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</si>
  <si>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</si>
  <si>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</si>
  <si>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</si>
  <si>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</si>
  <si>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</si>
  <si>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</si>
  <si>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</si>
  <si>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</si>
  <si>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</si>
  <si>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</si>
  <si>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</si>
  <si>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</si>
  <si>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</si>
  <si>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</si>
  <si>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</si>
  <si>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</si>
  <si>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</si>
  <si>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</si>
  <si>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</si>
  <si>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</si>
  <si>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</si>
  <si>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</si>
  <si>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</si>
  <si>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</si>
  <si>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</si>
  <si>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</si>
  <si>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</si>
  <si>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</si>
  <si>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</si>
  <si>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</si>
  <si>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</si>
  <si>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</si>
  <si>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</si>
  <si>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</si>
  <si>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</si>
  <si>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</si>
  <si>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</si>
  <si>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</si>
  <si>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</si>
  <si>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</si>
  <si>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</si>
  <si>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</si>
  <si>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</si>
  <si>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</si>
  <si>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</si>
  <si>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</si>
  <si>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</si>
  <si>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</si>
  <si>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</si>
  <si>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</si>
  <si>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(Tudo)</t>
  </si>
  <si>
    <t>Soma de Minecraft Season Pass Price</t>
  </si>
  <si>
    <t xml:space="preserve">                  XBOX GAME PASS SUBSCRIPTIONS SALES</t>
  </si>
  <si>
    <t>Calculation period:01/01/2024 - 31/12/2024 | Update date: 25/11/2025 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</si>
</sst>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rgb="FF7F7F7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1" fillId="0" borderId="2" xfId="1" applyBorder="1"/>
    <xf numFmtId="0" fontId="0" fillId="0" borderId="0" xfId="0" applyNumberFormat="1"/>
    <xf numFmtId="44" fontId="0" fillId="0" borderId="0" xfId="2" applyFont="1"/>
    <xf numFmtId="0" fontId="0" fillId="0" borderId="2" xfId="0" applyBorder="1"/>
    <xf numFmtId="0" fontId="0" fillId="8" borderId="0" xfId="0" applyFill="1"/>
    <xf numFmtId="0" fontId="5" fillId="8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480A2F5-6311-4BB3-8A14-9DE01969F3F8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9BC84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[Dashboard_Venda.xlsx]C̳álculos!tbl_anual_total</c:name>
    <c:fmtId val="10"/>
  </c:pivotSource>
  <c:chart>
    <c:autoTitleDeleted val="1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rgbClr val="5BF6A8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5900288511977632E-2"/>
          <c:y val="8.4205962305792748E-2"/>
          <c:w val="0.62358159183622575"/>
          <c:h val="0.78111581432053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7BB-471F-BC7F-2813744A546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7BB-471F-BC7F-2813744A5462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rgbClr val="5BF6A8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BB-471F-BC7F-2813744A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844239"/>
        <c:axId val="1247847119"/>
      </c:barChart>
      <c:catAx>
        <c:axId val="1247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7847119"/>
        <c:crosses val="autoZero"/>
        <c:auto val="1"/>
        <c:lblAlgn val="ctr"/>
        <c:lblOffset val="100"/>
        <c:noMultiLvlLbl val="0"/>
      </c:catAx>
      <c:valAx>
        <c:axId val="124784711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784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182745</xdr:colOff>
      <xdr:row>0</xdr:row>
      <xdr:rowOff>107156</xdr:rowOff>
    </xdr:from>
    <xdr:to>
      <xdr:col>3</xdr:col>
      <xdr:colOff>35719</xdr:colOff>
      <xdr:row>2</xdr:row>
      <xdr:rowOff>91372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ABEE5B-7171-49EB-9BA7-4738459F6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0483" r="71535" b="12644"/>
        <a:stretch>
          <a:fillRect/>
        </a:stretch>
      </xdr:blipFill>
      <xdr:spPr>
        <a:xfrm>
          <a:off x="1980589" y="107156"/>
          <a:ext cx="698318" cy="67477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260256</xdr:rowOff>
    </xdr:from>
    <xdr:to>
      <xdr:col>0</xdr:col>
      <xdr:colOff>1785937</xdr:colOff>
      <xdr:row>20</xdr:row>
      <xdr:rowOff>56030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D383DDEA-44AA-488E-BA60-6089BF8501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96315"/>
              <a:ext cx="1785937" cy="24963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163886</xdr:colOff>
      <xdr:row>7</xdr:row>
      <xdr:rowOff>163186</xdr:rowOff>
    </xdr:from>
    <xdr:to>
      <xdr:col>9</xdr:col>
      <xdr:colOff>390104</xdr:colOff>
      <xdr:row>15</xdr:row>
      <xdr:rowOff>108418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CECC889-766C-DF13-DA56-7E05D7ECA103}"/>
            </a:ext>
          </a:extLst>
        </xdr:cNvPr>
        <xdr:cNvGrpSpPr/>
      </xdr:nvGrpSpPr>
      <xdr:grpSpPr>
        <a:xfrm>
          <a:off x="1968033" y="1799245"/>
          <a:ext cx="4697365" cy="1693349"/>
          <a:chOff x="1916907" y="1262063"/>
          <a:chExt cx="4679156" cy="1695450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17D756D1-D174-83EF-3D8D-62C1D4B4C7E9}"/>
              </a:ext>
            </a:extLst>
          </xdr:cNvPr>
          <xdr:cNvSpPr/>
        </xdr:nvSpPr>
        <xdr:spPr>
          <a:xfrm>
            <a:off x="1916907" y="1262063"/>
            <a:ext cx="4679156" cy="157162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/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246EA1E-0DA8-D2B0-89B3-E7D4A8BB57FD}"/>
              </a:ext>
            </a:extLst>
          </xdr:cNvPr>
          <xdr:cNvGrpSpPr/>
        </xdr:nvGrpSpPr>
        <xdr:grpSpPr>
          <a:xfrm>
            <a:off x="1928721" y="1285874"/>
            <a:ext cx="4655526" cy="1671639"/>
            <a:chOff x="1916814" y="1238249"/>
            <a:chExt cx="4655526" cy="1671639"/>
          </a:xfrm>
        </xdr:grpSpPr>
        <xdr:sp macro="" textlink="C̳álculos!E12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E25B1CD7-0655-4A6E-881E-2549E333C807}"/>
                </a:ext>
              </a:extLst>
            </xdr:cNvPr>
            <xdr:cNvSpPr/>
          </xdr:nvSpPr>
          <xdr:spPr>
            <a:xfrm>
              <a:off x="3369198" y="1818086"/>
              <a:ext cx="3084981" cy="92035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BE5D706-C673-4992-9D28-1F585CF18607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t> R$ 2.940,00 </a:t>
              </a:fld>
              <a:endParaRPr lang="pt-BR" sz="11500">
                <a:solidFill>
                  <a:srgbClr val="22C55E"/>
                </a:solidFill>
              </a:endParaRPr>
            </a:p>
          </xdr:txBody>
        </xdr:sp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4749B8E6-DC5B-428D-B48D-DFB26B75D4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66938" y="1690688"/>
              <a:ext cx="1219200" cy="1219200"/>
            </a:xfrm>
            <a:prstGeom prst="rect">
              <a:avLst/>
            </a:prstGeom>
          </xdr:spPr>
        </xdr:pic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1C755FB0-10ED-5436-3E51-4956542EBF52}"/>
                </a:ext>
              </a:extLst>
            </xdr:cNvPr>
            <xdr:cNvSpPr/>
          </xdr:nvSpPr>
          <xdr:spPr>
            <a:xfrm>
              <a:off x="1916814" y="1238249"/>
              <a:ext cx="4655526" cy="500063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400" b="1"/>
                <a:t>TOTAL SUBSCRIPTIONS EA  PLAY SEASON PASS</a:t>
              </a:r>
            </a:p>
          </xdr:txBody>
        </xdr:sp>
      </xdr:grpSp>
    </xdr:grpSp>
    <xdr:clientData/>
  </xdr:twoCellAnchor>
  <xdr:twoCellAnchor>
    <xdr:from>
      <xdr:col>10</xdr:col>
      <xdr:colOff>429326</xdr:colOff>
      <xdr:row>7</xdr:row>
      <xdr:rowOff>197470</xdr:rowOff>
    </xdr:from>
    <xdr:to>
      <xdr:col>18</xdr:col>
      <xdr:colOff>455240</xdr:colOff>
      <xdr:row>15</xdr:row>
      <xdr:rowOff>28716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4C9B5F60-484F-7FB2-BFF4-BEB35F5D6918}"/>
            </a:ext>
          </a:extLst>
        </xdr:cNvPr>
        <xdr:cNvGrpSpPr/>
      </xdr:nvGrpSpPr>
      <xdr:grpSpPr>
        <a:xfrm>
          <a:off x="7309738" y="1833529"/>
          <a:ext cx="4698767" cy="1579363"/>
          <a:chOff x="7466620" y="1643029"/>
          <a:chExt cx="4698767" cy="1579363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C609B7B-4C68-47FF-AB6F-F51F618E06AE}"/>
              </a:ext>
            </a:extLst>
          </xdr:cNvPr>
          <xdr:cNvGrpSpPr/>
        </xdr:nvGrpSpPr>
        <xdr:grpSpPr>
          <a:xfrm>
            <a:off x="7466620" y="1643029"/>
            <a:ext cx="4698767" cy="1579363"/>
            <a:chOff x="1916907" y="1252211"/>
            <a:chExt cx="4679156" cy="1581477"/>
          </a:xfrm>
        </xdr:grpSpPr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AC6F271F-AC55-710B-3D0D-EE846CBA26C3}"/>
                </a:ext>
              </a:extLst>
            </xdr:cNvPr>
            <xdr:cNvSpPr/>
          </xdr:nvSpPr>
          <xdr:spPr>
            <a:xfrm>
              <a:off x="1916907" y="1262063"/>
              <a:ext cx="4679156" cy="157162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t-BR" sz="1200"/>
            </a:p>
          </xdr:txBody>
        </xdr: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203AD770-F4F4-6C9E-89E0-EFF60CFD6BFF}"/>
                </a:ext>
              </a:extLst>
            </xdr:cNvPr>
            <xdr:cNvGrpSpPr/>
          </xdr:nvGrpSpPr>
          <xdr:grpSpPr>
            <a:xfrm>
              <a:off x="1928721" y="1252211"/>
              <a:ext cx="4655526" cy="1379070"/>
              <a:chOff x="1916814" y="1204586"/>
              <a:chExt cx="4655526" cy="1379070"/>
            </a:xfrm>
          </xdr:grpSpPr>
          <xdr:sp macro="" textlink="C̳álculos!E24">
            <xdr:nvSpPr>
              <xdr:cNvPr id="25" name="Retângulo: Cantos Arredondados 24">
                <a:extLst>
                  <a:ext uri="{FF2B5EF4-FFF2-40B4-BE49-F238E27FC236}">
                    <a16:creationId xmlns:a16="http://schemas.microsoft.com/office/drawing/2014/main" id="{68C61664-F8D1-ADF3-7AC3-FCCC37ECCB08}"/>
                  </a:ext>
                </a:extLst>
              </xdr:cNvPr>
              <xdr:cNvSpPr/>
            </xdr:nvSpPr>
            <xdr:spPr>
              <a:xfrm>
                <a:off x="3487358" y="1841898"/>
                <a:ext cx="2943189" cy="741758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fld id="{4B2EBB01-2E29-4C44-AAAF-0F2562B963C5}" type="TxLink">
                  <a:rPr lang="en-US" sz="4000" b="0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 R$ 3.880,00 </a:t>
                </a:fld>
                <a:endParaRPr lang="pt-BR" sz="115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27" name="Retângulo: Cantos Superiores Arredondados 26">
                <a:extLst>
                  <a:ext uri="{FF2B5EF4-FFF2-40B4-BE49-F238E27FC236}">
                    <a16:creationId xmlns:a16="http://schemas.microsoft.com/office/drawing/2014/main" id="{52B24D99-539E-C647-F70B-97CF1CBAA174}"/>
                  </a:ext>
                </a:extLst>
              </xdr:cNvPr>
              <xdr:cNvSpPr/>
            </xdr:nvSpPr>
            <xdr:spPr>
              <a:xfrm>
                <a:off x="1916814" y="1204586"/>
                <a:ext cx="4655526" cy="500063"/>
              </a:xfrm>
              <a:prstGeom prst="round2SameRect">
                <a:avLst/>
              </a:prstGeom>
              <a:solidFill>
                <a:srgbClr val="22C55E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14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TOTAL SUBSCRIPTIONS MINECRAFT SEASON PASS</a:t>
                </a:r>
              </a:p>
            </xdr:txBody>
          </xdr:sp>
        </xdr:grpSp>
      </xdr:grp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E667A777-0BF9-4A18-ACB4-ED053F1CD2A8}"/>
              </a:ext>
            </a:extLst>
          </xdr:cNvPr>
          <xdr:cNvGrpSpPr/>
        </xdr:nvGrpSpPr>
        <xdr:grpSpPr>
          <a:xfrm>
            <a:off x="7686129" y="2203245"/>
            <a:ext cx="1544183" cy="751470"/>
            <a:chOff x="3495675" y="5400674"/>
            <a:chExt cx="1549476" cy="752476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E463ABDB-FF8B-FD8D-6964-DC34E84497E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444A03A0-526A-3A78-6FB2-8D6090C05B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84045</xdr:colOff>
      <xdr:row>20</xdr:row>
      <xdr:rowOff>73539</xdr:rowOff>
    </xdr:from>
    <xdr:to>
      <xdr:col>19</xdr:col>
      <xdr:colOff>257735</xdr:colOff>
      <xdr:row>37</xdr:row>
      <xdr:rowOff>112059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43F086B3-FDAE-30DB-8B92-B4837BB303B4}"/>
            </a:ext>
          </a:extLst>
        </xdr:cNvPr>
        <xdr:cNvGrpSpPr/>
      </xdr:nvGrpSpPr>
      <xdr:grpSpPr>
        <a:xfrm>
          <a:off x="1888192" y="4410215"/>
          <a:ext cx="10494308" cy="3277020"/>
          <a:chOff x="1821658" y="3762375"/>
          <a:chExt cx="9810311" cy="2821782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F4E4839C-8ED0-7766-FEC2-D10758E279FD}"/>
              </a:ext>
            </a:extLst>
          </xdr:cNvPr>
          <xdr:cNvGrpSpPr/>
        </xdr:nvGrpSpPr>
        <xdr:grpSpPr>
          <a:xfrm>
            <a:off x="1821658" y="3988594"/>
            <a:ext cx="9810311" cy="2595563"/>
            <a:chOff x="1905001" y="3572834"/>
            <a:chExt cx="10520507" cy="2259931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0B794581-E255-A3CD-4801-C7CA0CC08E68}"/>
                </a:ext>
              </a:extLst>
            </xdr:cNvPr>
            <xdr:cNvSpPr/>
          </xdr:nvSpPr>
          <xdr:spPr>
            <a:xfrm>
              <a:off x="1905001" y="3572834"/>
              <a:ext cx="10406063" cy="2165979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6404E0AB-BEA3-4228-8579-686715B571BC}"/>
                </a:ext>
              </a:extLst>
            </xdr:cNvPr>
            <xdr:cNvGraphicFramePr>
              <a:graphicFrameLocks/>
            </xdr:cNvGraphicFramePr>
          </xdr:nvGraphicFramePr>
          <xdr:xfrm>
            <a:off x="2046839" y="3762375"/>
            <a:ext cx="10378669" cy="207039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352CEE4B-EA67-43B1-B1BD-7A1B7D8C0129}"/>
              </a:ext>
            </a:extLst>
          </xdr:cNvPr>
          <xdr:cNvSpPr/>
        </xdr:nvSpPr>
        <xdr:spPr>
          <a:xfrm>
            <a:off x="1821659" y="3762375"/>
            <a:ext cx="9679778" cy="500063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SUBSCRIPTIONS XGAMES BOX PASS</a:t>
            </a:r>
          </a:p>
        </xdr:txBody>
      </xdr:sp>
    </xdr:grpSp>
    <xdr:clientData/>
  </xdr:twoCellAnchor>
  <xdr:twoCellAnchor editAs="absolute">
    <xdr:from>
      <xdr:col>0</xdr:col>
      <xdr:colOff>369095</xdr:colOff>
      <xdr:row>1</xdr:row>
      <xdr:rowOff>0</xdr:rowOff>
    </xdr:from>
    <xdr:to>
      <xdr:col>0</xdr:col>
      <xdr:colOff>1243013</xdr:colOff>
      <xdr:row>2</xdr:row>
      <xdr:rowOff>202406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9E88EF3A-18A5-442C-AE9F-A5551C9CF9BC}"/>
            </a:ext>
          </a:extLst>
        </xdr:cNvPr>
        <xdr:cNvSpPr/>
      </xdr:nvSpPr>
      <xdr:spPr>
        <a:xfrm>
          <a:off x="369095" y="190500"/>
          <a:ext cx="873918" cy="70246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119062</xdr:colOff>
      <xdr:row>2</xdr:row>
      <xdr:rowOff>440531</xdr:rowOff>
    </xdr:from>
    <xdr:to>
      <xdr:col>0</xdr:col>
      <xdr:colOff>1726406</xdr:colOff>
      <xdr:row>5</xdr:row>
      <xdr:rowOff>35719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C0F29539-FEC6-B79E-0AE5-E55B5B7DC823}"/>
            </a:ext>
          </a:extLst>
        </xdr:cNvPr>
        <xdr:cNvSpPr/>
      </xdr:nvSpPr>
      <xdr:spPr>
        <a:xfrm>
          <a:off x="119062" y="1131094"/>
          <a:ext cx="1607344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&gt; </a:t>
          </a:r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Vinda , Karla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la Cristina Almeida da silva" refreshedDate="45978.90828275463" createdVersion="8" refreshedVersion="8" minRefreshableVersion="3" recordCount="295" xr:uid="{346515DB-4622-4A11-B572-43961921C10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742104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0ABA0-AEE2-4741-AE89-CD4830894EDF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A28CA-9B9E-4843-A7D3-03BFA589BA8C}" name="Tbl_Ea_Play_season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2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A8345-8174-40CB-96B5-937C8339053E}" name="tbl_a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54B1F12-1A27-42FD-8954-50D664572136}" sourceName="Subscription Type">
  <pivotTables>
    <pivotTable tabId="3" name="tbl_anual_total"/>
    <pivotTable tabId="3" name="Tbl_Ea_Play_season_total"/>
    <pivotTable tabId="3" name="Tabela dinâmica2"/>
  </pivotTables>
  <data>
    <tabular pivotCacheId="107421046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CD20119-15FD-4E65-929F-A11CBF29551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H1" sqref="H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26"/>
  <sheetViews>
    <sheetView showGridLines="0" workbookViewId="0">
      <selection activeCell="P23" sqref="P2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7.28515625" customWidth="1"/>
    <col min="5" max="5" width="13.5703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2" t="s">
        <v>16</v>
      </c>
      <c r="C2" t="s">
        <v>317</v>
      </c>
    </row>
    <row r="4" spans="2:5" x14ac:dyDescent="0.25">
      <c r="B4" s="12" t="s">
        <v>313</v>
      </c>
      <c r="C4" t="s">
        <v>315</v>
      </c>
    </row>
    <row r="5" spans="2:5" x14ac:dyDescent="0.25">
      <c r="B5" s="13" t="s">
        <v>23</v>
      </c>
      <c r="C5" s="14">
        <v>3847</v>
      </c>
    </row>
    <row r="6" spans="2:5" x14ac:dyDescent="0.25">
      <c r="B6" s="13" t="s">
        <v>19</v>
      </c>
      <c r="C6" s="14">
        <v>3786</v>
      </c>
    </row>
    <row r="7" spans="2:5" x14ac:dyDescent="0.25">
      <c r="B7" s="13" t="s">
        <v>314</v>
      </c>
      <c r="C7" s="14">
        <v>7633</v>
      </c>
    </row>
    <row r="10" spans="2:5" x14ac:dyDescent="0.25">
      <c r="B10" s="12" t="s">
        <v>16</v>
      </c>
      <c r="C10" t="s">
        <v>317</v>
      </c>
    </row>
    <row r="12" spans="2:5" x14ac:dyDescent="0.25">
      <c r="B12" s="12" t="s">
        <v>313</v>
      </c>
      <c r="C12" t="s">
        <v>316</v>
      </c>
      <c r="E12" s="18">
        <f>GETPIVOTDATA("EA Play Season Pass
Price",$B$12)</f>
        <v>2940</v>
      </c>
    </row>
    <row r="13" spans="2:5" x14ac:dyDescent="0.25">
      <c r="B13" s="13" t="s">
        <v>22</v>
      </c>
      <c r="C13" s="17">
        <v>0</v>
      </c>
    </row>
    <row r="14" spans="2:5" x14ac:dyDescent="0.25">
      <c r="B14" s="13" t="s">
        <v>26</v>
      </c>
      <c r="C14" s="17">
        <v>0</v>
      </c>
    </row>
    <row r="15" spans="2:5" x14ac:dyDescent="0.25">
      <c r="B15" s="13" t="s">
        <v>18</v>
      </c>
      <c r="C15" s="17">
        <v>2940</v>
      </c>
    </row>
    <row r="16" spans="2:5" x14ac:dyDescent="0.25">
      <c r="B16" s="13" t="s">
        <v>314</v>
      </c>
      <c r="C16" s="17">
        <v>2940</v>
      </c>
    </row>
    <row r="20" spans="2:5" x14ac:dyDescent="0.25">
      <c r="B20" s="12" t="s">
        <v>16</v>
      </c>
      <c r="C20" t="s">
        <v>317</v>
      </c>
    </row>
    <row r="22" spans="2:5" x14ac:dyDescent="0.25">
      <c r="B22" s="12" t="s">
        <v>313</v>
      </c>
      <c r="C22" t="s">
        <v>318</v>
      </c>
    </row>
    <row r="23" spans="2:5" x14ac:dyDescent="0.25">
      <c r="B23" s="13" t="s">
        <v>22</v>
      </c>
      <c r="C23" s="14">
        <v>0</v>
      </c>
    </row>
    <row r="24" spans="2:5" x14ac:dyDescent="0.25">
      <c r="B24" s="13" t="s">
        <v>26</v>
      </c>
      <c r="C24" s="14">
        <v>1920</v>
      </c>
      <c r="E24" s="18">
        <f>GETPIVOTDATA("Minecraft Season Pass Price",$B$22)</f>
        <v>3880</v>
      </c>
    </row>
    <row r="25" spans="2:5" x14ac:dyDescent="0.25">
      <c r="B25" s="13" t="s">
        <v>18</v>
      </c>
      <c r="C25" s="14">
        <v>1960</v>
      </c>
    </row>
    <row r="26" spans="2:5" x14ac:dyDescent="0.25">
      <c r="B26" s="13" t="s">
        <v>314</v>
      </c>
      <c r="C26" s="14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251"/>
  <sheetViews>
    <sheetView showGridLines="0" showRowColHeaders="0" tabSelected="1" zoomScale="85" zoomScaleNormal="85" workbookViewId="0">
      <selection activeCell="O5" sqref="O5"/>
    </sheetView>
  </sheetViews>
  <sheetFormatPr defaultRowHeight="15" x14ac:dyDescent="0.25"/>
  <cols>
    <col min="1" max="1" width="27" style="4" customWidth="1"/>
    <col min="2" max="2" width="3.5703125" customWidth="1"/>
    <col min="12" max="12" width="6.5703125" customWidth="1"/>
    <col min="19" max="19" width="8.5703125" customWidth="1"/>
  </cols>
  <sheetData>
    <row r="2" spans="1:19" ht="39" customHeight="1" thickBot="1" x14ac:dyDescent="0.35">
      <c r="C2" s="15" t="s">
        <v>319</v>
      </c>
      <c r="D2" s="15"/>
      <c r="E2" s="15"/>
      <c r="F2" s="15"/>
      <c r="G2" s="15"/>
      <c r="H2" s="15"/>
      <c r="I2" s="16"/>
      <c r="J2" s="16"/>
      <c r="K2" s="16"/>
      <c r="L2" s="16"/>
      <c r="M2" s="16"/>
      <c r="N2" s="16"/>
      <c r="O2" s="16"/>
      <c r="P2" s="16"/>
      <c r="Q2" s="16"/>
      <c r="R2" s="19"/>
      <c r="S2" s="19"/>
    </row>
    <row r="3" spans="1:19" ht="39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  <c r="C6" s="21" t="s">
        <v>320</v>
      </c>
      <c r="D6" s="20"/>
      <c r="E6" s="20"/>
      <c r="F6" s="20"/>
      <c r="G6" s="20"/>
      <c r="H6" s="20"/>
      <c r="I6" s="20"/>
      <c r="J6" s="20"/>
    </row>
    <row r="7" spans="1:19" s="7" customFormat="1" ht="9.75" customHeight="1" x14ac:dyDescent="0.25">
      <c r="A7" s="4"/>
    </row>
    <row r="8" spans="1:19" s="7" customFormat="1" ht="33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Office</cp:lastModifiedBy>
  <dcterms:created xsi:type="dcterms:W3CDTF">2024-12-19T13:13:10Z</dcterms:created>
  <dcterms:modified xsi:type="dcterms:W3CDTF">2025-11-21T00:32:53Z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